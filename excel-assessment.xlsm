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0" yWindow="504" windowWidth="23256" windowHeight="13176" tabRatio="849" activeTab="6"/>
  </bookViews>
  <sheets>
    <sheet name="Instructions" sheetId="22" r:id="rId1"/>
    <sheet name="Task_1" sheetId="15" r:id="rId2"/>
    <sheet name="Task_2" sheetId="18" r:id="rId3"/>
    <sheet name="Task_3" sheetId="16" r:id="rId4"/>
    <sheet name="Dataset" sheetId="1" r:id="rId5"/>
    <sheet name="Task_4" sheetId="19" r:id="rId6"/>
    <sheet name="Task_5" sheetId="20" r:id="rId7"/>
  </sheets>
  <definedNames>
    <definedName name="_xlnm._FilterDatabase" localSheetId="4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/>
  <c r="C23" i="20"/>
  <c r="C24"/>
  <c r="C25"/>
  <c r="C26"/>
  <c r="C27"/>
  <c r="C28"/>
  <c r="C29"/>
  <c r="C30"/>
  <c r="C31"/>
  <c r="C32"/>
  <c r="C33"/>
  <c r="C34"/>
  <c r="C35"/>
  <c r="C30" i="18"/>
  <c r="D30"/>
  <c r="E30"/>
  <c r="F30"/>
  <c r="C29"/>
  <c r="D29"/>
  <c r="E29"/>
  <c r="F29"/>
  <c r="C28"/>
  <c r="D28"/>
  <c r="E28"/>
  <c r="F28"/>
  <c r="B30"/>
  <c r="B29"/>
  <c r="B28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6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H42" i="1"/>
</calcChain>
</file>

<file path=xl/sharedStrings.xml><?xml version="1.0" encoding="utf-8"?>
<sst xmlns="http://schemas.openxmlformats.org/spreadsheetml/2006/main" count="441" uniqueCount="217">
  <si>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</si>
  <si>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</si>
  <si>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</si>
  <si>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</si>
  <si>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</si>
  <si>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</si>
  <si>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</si>
  <si>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</si>
  <si>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</si>
  <si>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</si>
  <si>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</si>
  <si>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</si>
  <si>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</si>
  <si>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</si>
  <si>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</si>
  <si>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</si>
  <si>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</si>
  <si>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</si>
  <si>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</si>
  <si>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</si>
  <si>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</si>
  <si>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</si>
  <si>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</si>
  <si>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</si>
  <si>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</si>
  <si>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</si>
  <si>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</si>
  <si>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</si>
  <si>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</si>
  <si>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</si>
  <si>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</si>
  <si>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</si>
  <si>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</si>
  <si>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</si>
  <si>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</si>
  <si>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</si>
  <si>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</si>
  <si>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</si>
  <si>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</si>
  <si>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</si>
  <si>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</si>
  <si>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</si>
  <si>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</si>
  <si>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</si>
  <si>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</si>
  <si>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</si>
  <si>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</si>
  <si>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</si>
  <si>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</si>
  <si>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</si>
  <si>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</si>
  <si>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</si>
  <si>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</si>
  <si>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</si>
  <si>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</si>
  <si>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</si>
  <si>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</si>
  <si>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</si>
  <si>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</si>
  <si>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</si>
  <si>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</si>
  <si>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</si>
  <si>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</si>
  <si>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</si>
  <si>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</si>
  <si>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</si>
  <si>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</si>
  <si>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</si>
  <si>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</si>
  <si>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</si>
  <si>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</si>
  <si>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</si>
  <si>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</si>
  <si>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</si>
  <si>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</si>
  <si>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</si>
  <si>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</si>
  <si>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</si>
  <si>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</si>
  <si>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</si>
  <si>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</si>
  <si>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</si>
  <si>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</si>
  <si>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</si>
  <si>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</si>
  <si>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</si>
  <si>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</si>
  <si>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</si>
  <si>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</si>
  <si>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</si>
  <si>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</si>
  <si>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</si>
  <si>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</si>
  <si>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</si>
  <si>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</si>
  <si>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</si>
  <si>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</si>
  <si>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</si>
  <si>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</si>
  <si>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</si>
  <si>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</si>
  <si>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</si>
  <si>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</si>
  <si>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</si>
  <si>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</si>
  <si>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</si>
  <si>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</si>
  <si>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</si>
  <si>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</si>
  <si>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</si>
  <si>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</si>
  <si>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</si>
  <si>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</si>
  <si>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</si>
  <si>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</si>
  <si>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</si>
  <si>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</si>
  <si>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</si>
  <si>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</si>
  <si>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</si>
  <si>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</si>
  <si>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</si>
  <si>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</si>
  <si>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</si>
  <si>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</si>
  <si>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</si>
  <si>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</si>
  <si>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</si>
  <si>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</si>
  <si>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</si>
  <si>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</si>
  <si>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</si>
  <si>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</si>
  <si>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</si>
  <si>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</si>
  <si>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</si>
  <si>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</si>
  <si>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</si>
  <si>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</si>
  <si>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</si>
  <si>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</si>
  <si>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</si>
  <si>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</si>
  <si>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</si>
  <si>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</si>
  <si>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</si>
  <si>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</si>
  <si>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</si>
  <si>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</si>
  <si>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</si>
  <si>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</si>
  <si>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</si>
  <si>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</si>
  <si>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</si>
  <si>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</si>
  <si>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</si>
  <si>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</si>
  <si>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</si>
  <si>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</si>
  <si>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</si>
  <si>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</si>
  <si>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</si>
  <si>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</si>
  <si>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</si>
  <si>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</si>
  <si>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</si>
  <si>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</si>
  <si>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</si>
  <si>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</si>
  <si>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</si>
  <si>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</si>
  <si>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</si>
  <si>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</si>
  <si>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</si>
  <si>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</si>
  <si>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</si>
  <si>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</si>
  <si>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</si>
  <si>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Simple Example:</t>
  </si>
  <si>
    <t>In summary:</t>
  </si>
  <si>
    <r>
      <t>MATCH</t>
    </r>
    <r>
      <rPr>
        <sz val="10"/>
        <color rgb="FF000000"/>
        <rFont val="Times New Roman"/>
        <family val="1"/>
      </rPr>
      <t xml:space="preserve">: Finds the row and column where those letters are located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.</t>
    </r>
  </si>
  <si>
    <r>
      <t>INDEX</t>
    </r>
    <r>
      <rPr>
        <sz val="10"/>
        <color rgb="FF000000"/>
        <rFont val="Times New Roman"/>
        <family val="1"/>
      </rPr>
      <t xml:space="preserve">: Looks up the value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where the row and column intersect.</t>
    </r>
  </si>
  <si>
    <r>
      <t>1. VLOOKUP(A23,$M$10:$N$18,2,0)</t>
    </r>
    <r>
      <rPr>
        <sz val="10"/>
        <color rgb="FF000000"/>
        <rFont val="Times New Roman"/>
        <family val="1"/>
      </rPr>
      <t>:</t>
    </r>
  </si>
  <si>
    <r>
      <t>2.MATCH(VLOOKUP(A23,$M$10:$N$18,2,0),$A$10:$A$18,0)</t>
    </r>
    <r>
      <rPr>
        <sz val="10"/>
        <color rgb="FF000000"/>
        <rFont val="Times New Roman"/>
        <family val="1"/>
      </rPr>
      <t>:</t>
    </r>
  </si>
  <si>
    <r>
      <t>3. VLOOKUP(B23,$M$10:$N$18,2,0)</t>
    </r>
    <r>
      <rPr>
        <sz val="10"/>
        <color rgb="FF000000"/>
        <rFont val="Times New Roman"/>
        <family val="1"/>
      </rPr>
      <t>:</t>
    </r>
  </si>
  <si>
    <r>
      <t>4. MATCH(VLOOKUP(B23,$M$10:$N$18,2,0),$A$10:$A$18,0)</t>
    </r>
    <r>
      <rPr>
        <sz val="10"/>
        <color rgb="FF000000"/>
        <rFont val="Times New Roman"/>
        <family val="1"/>
      </rPr>
      <t>:</t>
    </r>
  </si>
  <si>
    <r>
      <t>5. INDEX($B$10:$J$18,MATCH(VLOOKUP(A23,$M$10:$N$18,2,0),$A$10:$A$18,0),MATCH(VLOOKUP(B23,$M$10:$N$18,2,0),$A$10:$A$18,0))</t>
    </r>
    <r>
      <rPr>
        <sz val="10"/>
        <color rgb="FF000000"/>
        <rFont val="Times New Roman"/>
        <family val="1"/>
      </rPr>
      <t>:</t>
    </r>
  </si>
  <si>
    <t>The MATCH function tells you the row number where this letter is found.</t>
  </si>
  <si>
    <t>For example, if B2 = 10102, it will return "B".</t>
  </si>
  <si>
    <t>This MATCH returns the column number where the letter is found.</t>
  </si>
  <si>
    <t>For example, if name_2 results in the letter "B", the MATCH function will return 2 because "B" is the second column.</t>
  </si>
  <si>
    <r>
      <t xml:space="preserve">This part looks up the value in cell A23 (which contains name_1 from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).</t>
    </r>
  </si>
  <si>
    <r>
      <t xml:space="preserve">It searches for this ID (name_1) in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, specifically in the range $M$10:$N$18, which is where all the IDs and corresponding letters (A, B, C, etc.) are located.</t>
    </r>
  </si>
  <si>
    <r>
      <t xml:space="preserve">The 2 in the formula tells Excel to return the letter from the second column of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.</t>
    </r>
  </si>
  <si>
    <r>
      <t xml:space="preserve">After the first VLOOKUP gets the letter (like "A"), this MATCH function finds where this letter is located in the rows of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.</t>
    </r>
  </si>
  <si>
    <r>
      <t xml:space="preserve">It checks in the range $A$10:$A$18 (the first column of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where the row headers like A, B, C are).</t>
    </r>
  </si>
  <si>
    <r>
      <t xml:space="preserve">For example, if the result of the VLOOKUP is "A", the MATCH function will return 1 because "A" is the first row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.</t>
    </r>
  </si>
  <si>
    <r>
      <t xml:space="preserve">It finds the letter corresponding to name_2 in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.</t>
    </r>
  </si>
  <si>
    <r>
      <t xml:space="preserve">Once we have the letter for name_2 (like "B"), this MATCH function finds where this letter is located in the </t>
    </r>
    <r>
      <rPr>
        <b/>
        <sz val="10"/>
        <color rgb="FF000000"/>
        <rFont val="Times New Roman"/>
        <family val="1"/>
      </rPr>
      <t>columns</t>
    </r>
    <r>
      <rPr>
        <sz val="10"/>
        <color rgb="FF000000"/>
        <rFont val="Times New Roman"/>
        <family val="1"/>
      </rPr>
      <t xml:space="preserve"> of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.</t>
    </r>
  </si>
  <si>
    <r>
      <t xml:space="preserve">It checks in the range $A$10:$A$18 (the top row of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where the column headers A, B, C are).</t>
    </r>
  </si>
  <si>
    <r>
      <t xml:space="preserve">Finally, the INDEX function takes the row number (from the first MATCH) and the column number (from the second MATCH) and returns the value from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where these two intersect.</t>
    </r>
  </si>
  <si>
    <r>
      <t xml:space="preserve">For example, if name_1 = 10100 (which maps to "A") and name_2 = 10102 (which maps to "B"), the INDEX function will return the value at the intersection of row "A" and column "B"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>, which is 95.</t>
    </r>
  </si>
  <si>
    <r>
      <t xml:space="preserve">If you are filling the first row in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 xml:space="preserve"> where name_1 = 10100 and name_2 = 10102:</t>
    </r>
  </si>
  <si>
    <r>
      <t xml:space="preserve">name_1 (10100) corresponds to letter </t>
    </r>
    <r>
      <rPr>
        <b/>
        <sz val="10"/>
        <color rgb="FF000000"/>
        <rFont val="Times New Roman"/>
        <family val="1"/>
      </rPr>
      <t>A</t>
    </r>
    <r>
      <rPr>
        <sz val="10"/>
        <color rgb="FF000000"/>
        <rFont val="Times New Roman"/>
        <family val="1"/>
      </rPr>
      <t xml:space="preserve"> (from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).</t>
    </r>
  </si>
  <si>
    <r>
      <t xml:space="preserve">name_2 (10102) corresponds to letter </t>
    </r>
    <r>
      <rPr>
        <b/>
        <sz val="10"/>
        <color rgb="FF000000"/>
        <rFont val="Times New Roman"/>
        <family val="1"/>
      </rPr>
      <t>B</t>
    </r>
    <r>
      <rPr>
        <sz val="10"/>
        <color rgb="FF000000"/>
        <rFont val="Times New Roman"/>
        <family val="1"/>
      </rPr>
      <t xml:space="preserve"> (from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).</t>
    </r>
  </si>
  <si>
    <r>
      <t xml:space="preserve">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, find where row </t>
    </r>
    <r>
      <rPr>
        <b/>
        <sz val="10"/>
        <color rgb="FF000000"/>
        <rFont val="Times New Roman"/>
        <family val="1"/>
      </rPr>
      <t>A</t>
    </r>
    <r>
      <rPr>
        <sz val="10"/>
        <color rgb="FF000000"/>
        <rFont val="Times New Roman"/>
        <family val="1"/>
      </rPr>
      <t xml:space="preserve"> and column </t>
    </r>
    <r>
      <rPr>
        <b/>
        <sz val="10"/>
        <color rgb="FF000000"/>
        <rFont val="Times New Roman"/>
        <family val="1"/>
      </rPr>
      <t>B</t>
    </r>
    <r>
      <rPr>
        <sz val="10"/>
        <color rgb="FF000000"/>
        <rFont val="Times New Roman"/>
        <family val="1"/>
      </rPr>
      <t xml:space="preserve"> intersect, which gives the value 95.</t>
    </r>
  </si>
  <si>
    <r>
      <t xml:space="preserve">So, the formula will output 95 for the first row in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.</t>
    </r>
  </si>
  <si>
    <r>
      <t>VLOOKUP</t>
    </r>
    <r>
      <rPr>
        <sz val="10"/>
        <color rgb="FF000000"/>
        <rFont val="Times New Roman"/>
        <family val="1"/>
      </rPr>
      <t xml:space="preserve">: Translates name_1 and name_2 (IDs) to corresponding letters from </t>
    </r>
    <r>
      <rPr>
        <b/>
        <sz val="10"/>
        <color rgb="FF000000"/>
        <rFont val="Times New Roman"/>
        <family val="1"/>
      </rPr>
      <t>Table_B</t>
    </r>
    <r>
      <rPr>
        <sz val="10"/>
        <color rgb="FF000000"/>
        <rFont val="Times New Roman"/>
        <family val="1"/>
      </rPr>
      <t>.</t>
    </r>
  </si>
  <si>
    <r>
      <t xml:space="preserve">This is how the value is filled for each pair of name_1 and name_2 in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.</t>
    </r>
  </si>
  <si>
    <r>
      <t xml:space="preserve">This is similar to the first VLOOKUP, but it works on B23, which is name_2 from </t>
    </r>
    <r>
      <rPr>
        <b/>
        <sz val="10"/>
        <color rgb="FF000000"/>
        <rFont val="Times New Roman"/>
        <family val="1"/>
      </rPr>
      <t>Table_C</t>
    </r>
    <r>
      <rPr>
        <sz val="10"/>
        <color rgb="FF000000"/>
        <rFont val="Times New Roman"/>
        <family val="1"/>
      </rPr>
      <t>.</t>
    </r>
  </si>
  <si>
    <t>For example, if A23 = 10100, this function will return "A".</t>
  </si>
  <si>
    <t>select the delimeters so here it is "Other" which is  "-" then next and then select the columns where we want that text press "Enter"</t>
  </si>
  <si>
    <r>
      <t>Ctrl + Shift + Enter</t>
    </r>
    <r>
      <rPr>
        <sz val="11"/>
        <color rgb="FF000000"/>
        <rFont val="Times New Roman"/>
        <family val="1"/>
      </rPr>
      <t>: This is necessary to tell Excel that you're entering an array formula, which works on a range of cells.</t>
    </r>
  </si>
  <si>
    <r>
      <t>IFERROR(C2:C11, 20)</t>
    </r>
    <r>
      <rPr>
        <sz val="11"/>
        <color rgb="FF000000"/>
        <rFont val="Times New Roman"/>
        <family val="1"/>
      </rPr>
      <t>: This replaces any #N/A with 20.</t>
    </r>
  </si>
  <si>
    <r>
      <t>SUM</t>
    </r>
    <r>
      <rPr>
        <sz val="11"/>
        <color rgb="FF000000"/>
        <rFont val="Times New Roman"/>
        <family val="1"/>
      </rPr>
      <t>: Sums the entire range after replacing #N/A values.</t>
    </r>
  </si>
  <si>
    <t>first select the range of values (A16:A54) then go to Data&gt;Text to Columns</t>
  </si>
  <si>
    <t>Explanation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</si>
</sst>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7" formatCode="[$-14009]yyyy/mm/dd;@"/>
  </numFmts>
  <fonts count="2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  <font>
      <b/>
      <sz val="13.5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18" fillId="0" borderId="0" xfId="0" applyFont="1" applyAlignment="1">
      <alignment horizontal="left" indent="1"/>
    </xf>
    <xf numFmtId="0" fontId="2" fillId="0" borderId="0" xfId="0" applyFont="1"/>
    <xf numFmtId="0" fontId="2" fillId="0" borderId="0" xfId="0" applyFont="1" applyAlignment="1">
      <alignment horizontal="left" indent="2"/>
    </xf>
    <xf numFmtId="0" fontId="19" fillId="0" borderId="0" xfId="0" applyFont="1"/>
    <xf numFmtId="0" fontId="2" fillId="0" borderId="0" xfId="0" applyFont="1" applyAlignment="1">
      <alignment horizontal="left" indent="1"/>
    </xf>
    <xf numFmtId="0" fontId="20" fillId="0" borderId="0" xfId="0" applyFont="1"/>
    <xf numFmtId="0" fontId="21" fillId="0" borderId="0" xfId="0" applyFont="1"/>
    <xf numFmtId="0" fontId="22" fillId="0" borderId="0" xfId="0" applyFont="1" applyAlignment="1">
      <alignment horizontal="left" indent="1"/>
    </xf>
    <xf numFmtId="0" fontId="21" fillId="0" borderId="0" xfId="0" applyFont="1" applyAlignment="1">
      <alignment horizontal="left" indent="1"/>
    </xf>
    <xf numFmtId="0" fontId="22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topLeftCell="A4" workbookViewId="0">
      <selection activeCell="B14" sqref="B14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5" t="s">
        <v>170</v>
      </c>
      <c r="B9" s="25" t="s">
        <v>168</v>
      </c>
    </row>
    <row r="10" spans="1:3">
      <c r="A10" s="34" t="s">
        <v>171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B6" sqref="B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G30"/>
  <sheetViews>
    <sheetView workbookViewId="0">
      <selection activeCell="C6" sqref="C6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163</v>
      </c>
    </row>
    <row r="2" spans="1:7" s="40" customFormat="1" ht="21">
      <c r="B2" s="40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7" t="s">
        <v>161</v>
      </c>
      <c r="B4" s="1"/>
      <c r="C4" s="1"/>
      <c r="D4" s="1"/>
      <c r="E4" s="1"/>
      <c r="F4" s="1"/>
      <c r="G4" s="1"/>
    </row>
    <row r="5" spans="1:7" ht="14.4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>
      <c r="A6" s="7" t="s">
        <v>40</v>
      </c>
      <c r="B6" s="11">
        <f>VLOOKUP(A6,Dataset!$A$1:$X$40,7,0)</f>
        <v>2.7</v>
      </c>
      <c r="C6" s="11">
        <f>VLOOKUP(A6,Dataset!$A$1:$X$40,8,0)</f>
        <v>3.6</v>
      </c>
      <c r="D6" s="11">
        <f>VLOOKUP(A6,Dataset!$A$1:$X$40,9,0)</f>
        <v>4.2</v>
      </c>
      <c r="E6" s="11">
        <f>VLOOKUP(A6,Dataset!$A$1:$X$40,10,0)</f>
        <v>-1</v>
      </c>
      <c r="F6" s="11">
        <f>VLOOKUP(A6,Dataset!$A$1:$X$40,11,0)</f>
        <v>-1</v>
      </c>
    </row>
    <row r="7" spans="1:7" ht="14.4">
      <c r="A7" s="7" t="s">
        <v>4</v>
      </c>
      <c r="B7" s="11">
        <f>VLOOKUP(A7,Dataset!$A$1:$X$40,7,0)</f>
        <v>2.7</v>
      </c>
      <c r="C7" s="11">
        <f>VLOOKUP(A7,Dataset!$A$1:$X$40,8,0)</f>
        <v>3.6</v>
      </c>
      <c r="D7" s="11">
        <f>VLOOKUP(A7,Dataset!$A$1:$X$40,9,0)</f>
        <v>4.2</v>
      </c>
      <c r="E7" s="11">
        <f>VLOOKUP(A7,Dataset!$A$1:$X$40,10,0)</f>
        <v>-1</v>
      </c>
      <c r="F7" s="11">
        <f>VLOOKUP(A7,Dataset!$A$1:$X$40,11,0)</f>
        <v>-1</v>
      </c>
    </row>
    <row r="8" spans="1:7" ht="14.4">
      <c r="A8" s="7" t="s">
        <v>7</v>
      </c>
      <c r="B8" s="11">
        <f>VLOOKUP(A8,Dataset!$A$1:$X$40,7,0)</f>
        <v>3.6</v>
      </c>
      <c r="C8" s="11">
        <f>VLOOKUP(A8,Dataset!$A$1:$X$40,8,0)</f>
        <v>5.4</v>
      </c>
      <c r="D8" s="11">
        <f>VLOOKUP(A8,Dataset!$A$1:$X$40,9,0)</f>
        <v>5.8</v>
      </c>
      <c r="E8" s="11">
        <f>VLOOKUP(A8,Dataset!$A$1:$X$40,10,0)</f>
        <v>-1</v>
      </c>
      <c r="F8" s="11">
        <f>VLOOKUP(A8,Dataset!$A$1:$X$40,11,0)</f>
        <v>-1</v>
      </c>
    </row>
    <row r="9" spans="1:7" ht="14.4">
      <c r="A9" s="7" t="s">
        <v>8</v>
      </c>
      <c r="B9" s="11">
        <f>VLOOKUP(A9,Dataset!$A$1:$X$40,7,0)</f>
        <v>4.9000000000000004</v>
      </c>
      <c r="C9" s="11">
        <f>VLOOKUP(A9,Dataset!$A$1:$X$40,8,0)</f>
        <v>6.6</v>
      </c>
      <c r="D9" s="11">
        <f>VLOOKUP(A9,Dataset!$A$1:$X$40,9,0)</f>
        <v>8.1</v>
      </c>
      <c r="E9" s="11">
        <f>VLOOKUP(A9,Dataset!$A$1:$X$40,10,0)</f>
        <v>-1</v>
      </c>
      <c r="F9" s="11">
        <f>VLOOKUP(A9,Dataset!$A$1:$X$40,11,0)</f>
        <v>-1</v>
      </c>
    </row>
    <row r="10" spans="1:7" ht="14.4">
      <c r="A10" s="7" t="s">
        <v>11</v>
      </c>
      <c r="B10" s="11">
        <f>VLOOKUP(A10,Dataset!$A$1:$X$40,7,0)</f>
        <v>9.4</v>
      </c>
      <c r="C10" s="11">
        <f>VLOOKUP(A10,Dataset!$A$1:$X$40,8,0)</f>
        <v>13.8</v>
      </c>
      <c r="D10" s="11">
        <f>VLOOKUP(A10,Dataset!$A$1:$X$40,9,0)</f>
        <v>16.100000000000001</v>
      </c>
      <c r="E10" s="11">
        <f>VLOOKUP(A10,Dataset!$A$1:$X$40,10,0)</f>
        <v>-1</v>
      </c>
      <c r="F10" s="11">
        <f>VLOOKUP(A10,Dataset!$A$1:$X$40,11,0)</f>
        <v>-1</v>
      </c>
    </row>
    <row r="11" spans="1:7" ht="14.4">
      <c r="A11" s="7" t="s">
        <v>12</v>
      </c>
      <c r="B11" s="11">
        <f>VLOOKUP(A11,Dataset!$A$1:$X$40,7,0)</f>
        <v>11.6</v>
      </c>
      <c r="C11" s="11">
        <f>VLOOKUP(A11,Dataset!$A$1:$X$40,8,0)</f>
        <v>17.3</v>
      </c>
      <c r="D11" s="11">
        <f>VLOOKUP(A11,Dataset!$A$1:$X$40,9,0)</f>
        <v>21.3</v>
      </c>
      <c r="E11" s="11">
        <f>VLOOKUP(A11,Dataset!$A$1:$X$40,10,0)</f>
        <v>-1</v>
      </c>
      <c r="F11" s="11">
        <f>VLOOKUP(A11,Dataset!$A$1:$X$40,11,0)</f>
        <v>-1</v>
      </c>
    </row>
    <row r="12" spans="1:7" ht="14.4">
      <c r="A12" s="7" t="s">
        <v>14</v>
      </c>
      <c r="B12" s="11">
        <f>VLOOKUP(A12,Dataset!$A$1:$X$40,7,0)</f>
        <v>18.399999999999999</v>
      </c>
      <c r="C12" s="11">
        <f>VLOOKUP(A12,Dataset!$A$1:$X$40,8,0)</f>
        <v>27.5</v>
      </c>
      <c r="D12" s="11">
        <f>VLOOKUP(A12,Dataset!$A$1:$X$40,9,0)</f>
        <v>33.799999999999997</v>
      </c>
      <c r="E12" s="11">
        <f>VLOOKUP(A12,Dataset!$A$1:$X$40,10,0)</f>
        <v>-1</v>
      </c>
      <c r="F12" s="11">
        <f>VLOOKUP(A12,Dataset!$A$1:$X$40,11,0)</f>
        <v>-1</v>
      </c>
    </row>
    <row r="13" spans="1:7" ht="14.4">
      <c r="A13" s="7" t="s">
        <v>15</v>
      </c>
      <c r="B13" s="11">
        <f>VLOOKUP(A13,Dataset!$A$1:$X$40,7,0)</f>
        <v>0</v>
      </c>
      <c r="C13" s="11">
        <f>VLOOKUP(A13,Dataset!$A$1:$X$40,8,0)</f>
        <v>0</v>
      </c>
      <c r="D13" s="11">
        <f>VLOOKUP(A13,Dataset!$A$1:$X$40,9,0)</f>
        <v>0</v>
      </c>
      <c r="E13" s="11">
        <f>VLOOKUP(A13,Dataset!$A$1:$X$40,10,0)</f>
        <v>0</v>
      </c>
      <c r="F13" s="11">
        <f>VLOOKUP(A13,Dataset!$A$1:$X$40,11,0)</f>
        <v>0</v>
      </c>
    </row>
    <row r="14" spans="1:7" ht="14.4">
      <c r="A14" s="7" t="s">
        <v>16</v>
      </c>
      <c r="B14" s="11">
        <f>VLOOKUP(A14,Dataset!$A$1:$X$40,7,0)</f>
        <v>21.9</v>
      </c>
      <c r="C14" s="11">
        <f>VLOOKUP(A14,Dataset!$A$1:$X$40,8,0)</f>
        <v>32.1</v>
      </c>
      <c r="D14" s="11">
        <f>VLOOKUP(A14,Dataset!$A$1:$X$40,9,0)</f>
        <v>40.1</v>
      </c>
      <c r="E14" s="11">
        <f>VLOOKUP(A14,Dataset!$A$1:$X$40,10,0)</f>
        <v>-1</v>
      </c>
      <c r="F14" s="11">
        <f>VLOOKUP(A14,Dataset!$A$1:$X$40,11,0)</f>
        <v>-1</v>
      </c>
    </row>
    <row r="15" spans="1:7" ht="14.4">
      <c r="A15" s="7" t="s">
        <v>18</v>
      </c>
      <c r="B15" s="11">
        <f>VLOOKUP(A15,Dataset!$A$1:$X$40,7,0)</f>
        <v>26.8</v>
      </c>
      <c r="C15" s="11">
        <f>VLOOKUP(A15,Dataset!$A$1:$X$40,8,0)</f>
        <v>39.299999999999997</v>
      </c>
      <c r="D15" s="11">
        <f>VLOOKUP(A15,Dataset!$A$1:$X$40,9,0)</f>
        <v>47.9</v>
      </c>
      <c r="E15" s="11">
        <f>VLOOKUP(A15,Dataset!$A$1:$X$40,10,0)</f>
        <v>-1</v>
      </c>
      <c r="F15" s="11">
        <f>VLOOKUP(A15,Dataset!$A$1:$X$40,11,0)</f>
        <v>-1</v>
      </c>
    </row>
    <row r="16" spans="1:7" ht="14.4">
      <c r="A16" s="7" t="s">
        <v>20</v>
      </c>
      <c r="B16" s="11">
        <f>VLOOKUP(A16,Dataset!$A$1:$X$40,7,0)</f>
        <v>28.5</v>
      </c>
      <c r="C16" s="11">
        <f>VLOOKUP(A16,Dataset!$A$1:$X$40,8,0)</f>
        <v>42.3</v>
      </c>
      <c r="D16" s="11">
        <f>VLOOKUP(A16,Dataset!$A$1:$X$40,9,0)</f>
        <v>52.3</v>
      </c>
      <c r="E16" s="11">
        <f>VLOOKUP(A16,Dataset!$A$1:$X$40,10,0)</f>
        <v>-1</v>
      </c>
      <c r="F16" s="11">
        <f>VLOOKUP(A16,Dataset!$A$1:$X$40,11,0)</f>
        <v>-1</v>
      </c>
    </row>
    <row r="17" spans="1:6" ht="14.4">
      <c r="A17" s="7" t="s">
        <v>22</v>
      </c>
      <c r="B17" s="11">
        <f>VLOOKUP(A17,Dataset!$A$1:$X$40,7,0)</f>
        <v>30.7</v>
      </c>
      <c r="C17" s="11">
        <f>VLOOKUP(A17,Dataset!$A$1:$X$40,8,0)</f>
        <v>45.5</v>
      </c>
      <c r="D17" s="11">
        <f>VLOOKUP(A17,Dataset!$A$1:$X$40,9,0)</f>
        <v>57</v>
      </c>
      <c r="E17" s="11">
        <f>VLOOKUP(A17,Dataset!$A$1:$X$40,10,0)</f>
        <v>-1</v>
      </c>
      <c r="F17" s="11">
        <f>VLOOKUP(A17,Dataset!$A$1:$X$40,11,0)</f>
        <v>-1</v>
      </c>
    </row>
    <row r="18" spans="1:6" ht="14.4">
      <c r="A18" s="7" t="s">
        <v>23</v>
      </c>
      <c r="B18" s="11">
        <f>VLOOKUP(A18,Dataset!$A$1:$X$40,7,0)</f>
        <v>33.799999999999997</v>
      </c>
      <c r="C18" s="11">
        <f>VLOOKUP(A18,Dataset!$A$1:$X$40,8,0)</f>
        <v>50.1</v>
      </c>
      <c r="D18" s="11">
        <f>VLOOKUP(A18,Dataset!$A$1:$X$40,9,0)</f>
        <v>61.4</v>
      </c>
      <c r="E18" s="11">
        <f>VLOOKUP(A18,Dataset!$A$1:$X$40,10,0)</f>
        <v>-1</v>
      </c>
      <c r="F18" s="11">
        <f>VLOOKUP(A18,Dataset!$A$1:$X$40,11,0)</f>
        <v>-1</v>
      </c>
    </row>
    <row r="19" spans="1:6" ht="14.4">
      <c r="A19" s="7" t="s">
        <v>24</v>
      </c>
      <c r="B19" s="11">
        <f>VLOOKUP(A19,Dataset!$A$1:$X$40,7,0)</f>
        <v>34.700000000000003</v>
      </c>
      <c r="C19" s="11">
        <f>VLOOKUP(A19,Dataset!$A$1:$X$40,8,0)</f>
        <v>52.3</v>
      </c>
      <c r="D19" s="11">
        <f>VLOOKUP(A19,Dataset!$A$1:$X$40,9,0)</f>
        <v>63.6</v>
      </c>
      <c r="E19" s="11">
        <f>VLOOKUP(A19,Dataset!$A$1:$X$40,10,0)</f>
        <v>-1</v>
      </c>
      <c r="F19" s="11">
        <f>VLOOKUP(A19,Dataset!$A$1:$X$40,11,0)</f>
        <v>-1</v>
      </c>
    </row>
    <row r="20" spans="1:6" ht="14.4">
      <c r="A20" s="7" t="s">
        <v>28</v>
      </c>
      <c r="B20" s="11">
        <f>VLOOKUP(A20,Dataset!$A$1:$X$40,7,0)</f>
        <v>0</v>
      </c>
      <c r="C20" s="11">
        <f>VLOOKUP(A20,Dataset!$A$1:$X$40,8,0)</f>
        <v>0</v>
      </c>
      <c r="D20" s="11">
        <f>VLOOKUP(A20,Dataset!$A$1:$X$40,9,0)</f>
        <v>0</v>
      </c>
      <c r="E20" s="11">
        <f>VLOOKUP(A20,Dataset!$A$1:$X$40,10,0)</f>
        <v>0</v>
      </c>
      <c r="F20" s="11">
        <f>VLOOKUP(A20,Dataset!$A$1:$X$40,11,0)</f>
        <v>0</v>
      </c>
    </row>
    <row r="21" spans="1:6" ht="14.4">
      <c r="A21" s="7" t="s">
        <v>57</v>
      </c>
      <c r="B21" s="11">
        <f>VLOOKUP(A21,Dataset!$A$1:$X$40,7,0)</f>
        <v>41.3</v>
      </c>
      <c r="C21" s="11">
        <f>VLOOKUP(A21,Dataset!$A$1:$X$40,8,0)</f>
        <v>61.4</v>
      </c>
      <c r="D21" s="11">
        <f>VLOOKUP(A21,Dataset!$A$1:$X$40,9,0)</f>
        <v>75</v>
      </c>
      <c r="E21" s="11">
        <f>VLOOKUP(A21,Dataset!$A$1:$X$40,10,0)</f>
        <v>-1</v>
      </c>
      <c r="F21" s="11">
        <f>VLOOKUP(A21,Dataset!$A$1:$X$40,11,0)</f>
        <v>-1</v>
      </c>
    </row>
    <row r="22" spans="1:6" ht="14.4">
      <c r="A22" s="7" t="s">
        <v>58</v>
      </c>
      <c r="B22" s="11">
        <f>VLOOKUP(A22,Dataset!$A$1:$X$40,7,0)</f>
        <v>-1</v>
      </c>
      <c r="C22" s="11">
        <f>VLOOKUP(A22,Dataset!$A$1:$X$40,8,0)</f>
        <v>-1</v>
      </c>
      <c r="D22" s="11">
        <f>VLOOKUP(A22,Dataset!$A$1:$X$40,9,0)</f>
        <v>-1</v>
      </c>
      <c r="E22" s="11">
        <f>VLOOKUP(A22,Dataset!$A$1:$X$40,10,0)</f>
        <v>-1</v>
      </c>
      <c r="F22" s="11">
        <f>VLOOKUP(A22,Dataset!$A$1:$X$40,11,0)</f>
        <v>-1</v>
      </c>
    </row>
    <row r="23" spans="1:6" ht="14.4">
      <c r="A23" s="7" t="s">
        <v>31</v>
      </c>
      <c r="B23" s="11">
        <f>VLOOKUP(A23,Dataset!$A$1:$X$40,7,0)</f>
        <v>45</v>
      </c>
      <c r="C23" s="11">
        <f>VLOOKUP(A23,Dataset!$A$1:$X$40,8,0)</f>
        <v>65.900000000000006</v>
      </c>
      <c r="D23" s="11">
        <f>VLOOKUP(A23,Dataset!$A$1:$X$40,9,0)</f>
        <v>79.400000000000006</v>
      </c>
      <c r="E23" s="11">
        <f>VLOOKUP(A23,Dataset!$A$1:$X$40,10,0)</f>
        <v>-1</v>
      </c>
      <c r="F23" s="11">
        <f>VLOOKUP(A23,Dataset!$A$1:$X$40,11,0)</f>
        <v>-1</v>
      </c>
    </row>
    <row r="24" spans="1:6" ht="14.4">
      <c r="A24" s="7" t="s">
        <v>32</v>
      </c>
      <c r="B24" s="11">
        <f>VLOOKUP(A24,Dataset!$A$1:$X$40,7,0)</f>
        <v>-1</v>
      </c>
      <c r="C24" s="11">
        <f>VLOOKUP(A24,Dataset!$A$1:$X$40,8,0)</f>
        <v>-1</v>
      </c>
      <c r="D24" s="11">
        <f>VLOOKUP(A24,Dataset!$A$1:$X$40,9,0)</f>
        <v>-1</v>
      </c>
      <c r="E24" s="11">
        <f>VLOOKUP(A24,Dataset!$A$1:$X$40,10,0)</f>
        <v>-1</v>
      </c>
      <c r="F24" s="11">
        <f>VLOOKUP(A24,Dataset!$A$1:$X$40,11,0)</f>
        <v>-1</v>
      </c>
    </row>
    <row r="25" spans="1:6" ht="14.4">
      <c r="A25" s="7" t="s">
        <v>34</v>
      </c>
      <c r="B25" s="11">
        <f>VLOOKUP(A25,Dataset!$A$1:$X$40,7,0)</f>
        <v>43.3</v>
      </c>
      <c r="C25" s="11">
        <f>VLOOKUP(A25,Dataset!$A$1:$X$40,8,0)</f>
        <v>63.6</v>
      </c>
      <c r="D25" s="11">
        <f>VLOOKUP(A25,Dataset!$A$1:$X$40,9,0)</f>
        <v>79.400000000000006</v>
      </c>
      <c r="E25" s="11">
        <f>VLOOKUP(A25,Dataset!$A$1:$X$40,10,0)</f>
        <v>-1</v>
      </c>
      <c r="F25" s="11">
        <f>VLOOKUP(A25,Dataset!$A$1:$X$40,11,0)</f>
        <v>-1</v>
      </c>
    </row>
    <row r="26" spans="1:6" ht="14.4">
      <c r="A26" s="7" t="s">
        <v>37</v>
      </c>
      <c r="B26" s="11">
        <f>VLOOKUP(A26,Dataset!$A$1:$X$40,7,0)</f>
        <v>49.1</v>
      </c>
      <c r="C26" s="11">
        <f>VLOOKUP(A26,Dataset!$A$1:$X$40,8,0)</f>
        <v>72.8</v>
      </c>
      <c r="D26" s="11">
        <f>VLOOKUP(A26,Dataset!$A$1:$X$40,9,0)</f>
        <v>90.9</v>
      </c>
      <c r="E26" s="11">
        <f>VLOOKUP(A26,Dataset!$A$1:$X$40,10,0)</f>
        <v>-1</v>
      </c>
      <c r="F26" s="11">
        <f>VLOOKUP(A26,Dataset!$A$1:$X$40,11,0)</f>
        <v>-1</v>
      </c>
    </row>
    <row r="27" spans="1:6" ht="14.4">
      <c r="A27" s="7" t="s">
        <v>39</v>
      </c>
      <c r="B27" s="11">
        <f>VLOOKUP(A27,Dataset!$A$1:$X$40,7,0)</f>
        <v>51.8</v>
      </c>
      <c r="C27" s="11">
        <f>VLOOKUP(A27,Dataset!$A$1:$X$40,8,0)</f>
        <v>77.2</v>
      </c>
      <c r="D27" s="11">
        <f>VLOOKUP(A27,Dataset!$A$1:$X$40,9,0)</f>
        <v>93.1</v>
      </c>
      <c r="E27" s="11">
        <f>VLOOKUP(A27,Dataset!$A$1:$X$40,10,0)</f>
        <v>-1</v>
      </c>
      <c r="F27" s="11">
        <f>VLOOKUP(A27,Dataset!$A$1:$X$40,11,0)</f>
        <v>-1</v>
      </c>
    </row>
    <row r="28" spans="1:6" ht="14.4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>
      <c r="A29" s="18" t="s">
        <v>83</v>
      </c>
      <c r="B29" s="30">
        <f>MAX(B6:B27)</f>
        <v>51.8</v>
      </c>
      <c r="C29" s="30">
        <f t="shared" ref="C29:F29" si="1">MAX(C6:C27)</f>
        <v>77.2</v>
      </c>
      <c r="D29" s="30">
        <f t="shared" si="1"/>
        <v>93.1</v>
      </c>
      <c r="E29" s="30">
        <f t="shared" si="1"/>
        <v>0</v>
      </c>
      <c r="F29" s="30">
        <f t="shared" si="1"/>
        <v>0</v>
      </c>
    </row>
    <row r="30" spans="1:6" ht="14.4">
      <c r="A30" s="18" t="s">
        <v>84</v>
      </c>
      <c r="B30" s="30">
        <f>AVERAGE(B6:B27)</f>
        <v>20.827272727272728</v>
      </c>
      <c r="C30" s="30">
        <f t="shared" ref="C30:F30" si="2">AVERAGE(C6:C27)</f>
        <v>30.831818181818186</v>
      </c>
      <c r="D30" s="30">
        <f t="shared" si="2"/>
        <v>37.800000000000004</v>
      </c>
      <c r="E30" s="30">
        <f t="shared" si="2"/>
        <v>-0.90909090909090906</v>
      </c>
      <c r="F30" s="30">
        <f t="shared" si="2"/>
        <v>-0.90909090909090906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J54"/>
  <sheetViews>
    <sheetView workbookViewId="0">
      <selection activeCell="I18" sqref="I18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0" customFormat="1" ht="21">
      <c r="A1" s="41" t="s">
        <v>56</v>
      </c>
      <c r="B1" s="40" t="s">
        <v>173</v>
      </c>
    </row>
    <row r="2" spans="1:10" customFormat="1" ht="13.2"/>
    <row r="3" spans="1:10" s="2" customFormat="1">
      <c r="B3" s="1"/>
    </row>
    <row r="4" spans="1:10" s="2" customFormat="1">
      <c r="B4" s="1" t="s">
        <v>150</v>
      </c>
    </row>
    <row r="5" spans="1:10" ht="18">
      <c r="A5" s="42" t="s">
        <v>53</v>
      </c>
      <c r="B5" s="39"/>
    </row>
    <row r="6" spans="1:10" ht="18">
      <c r="A6" s="42" t="s">
        <v>152</v>
      </c>
      <c r="B6" s="39"/>
    </row>
    <row r="7" spans="1:10" ht="18">
      <c r="A7" s="42"/>
      <c r="B7" s="39"/>
    </row>
    <row r="9" spans="1:10" ht="23.4">
      <c r="A9" s="17" t="s">
        <v>164</v>
      </c>
      <c r="I9" s="2"/>
      <c r="J9" s="2"/>
    </row>
    <row r="10" spans="1:10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7" t="s">
        <v>161</v>
      </c>
    </row>
    <row r="15" spans="1:10" ht="15.6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  <c r="J15" s="50" t="s">
        <v>216</v>
      </c>
    </row>
    <row r="16" spans="1:10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J16" s="54" t="s">
        <v>215</v>
      </c>
    </row>
    <row r="17" spans="1:10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  <c r="J17" s="54" t="s">
        <v>211</v>
      </c>
    </row>
    <row r="18" spans="1:10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10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10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10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10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10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10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10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10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10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10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10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10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10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10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pane ySplit="1" topLeftCell="A2" activePane="bottomLeft" state="frozen"/>
      <selection activeCell="B1" sqref="B1"/>
      <selection pane="bottomLeft" sqref="A1:XFD1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>
      <c r="H42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Q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G22"/>
  <sheetViews>
    <sheetView workbookViewId="0">
      <selection activeCell="F20" sqref="F20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7" ht="21">
      <c r="A1" s="41" t="s">
        <v>85</v>
      </c>
      <c r="B1" s="40" t="s">
        <v>166</v>
      </c>
    </row>
    <row r="2" spans="1:7" ht="18">
      <c r="B2" s="39" t="s">
        <v>165</v>
      </c>
    </row>
    <row r="5" spans="1:7" ht="14.4">
      <c r="B5" s="1" t="s">
        <v>150</v>
      </c>
    </row>
    <row r="6" spans="1:7" ht="14.4">
      <c r="A6" s="3" t="s">
        <v>53</v>
      </c>
      <c r="B6" s="1"/>
    </row>
    <row r="7" spans="1:7" ht="14.4">
      <c r="A7" s="3" t="s">
        <v>152</v>
      </c>
      <c r="B7" s="1"/>
    </row>
    <row r="10" spans="1:7" ht="23.4">
      <c r="A10" s="17" t="s">
        <v>161</v>
      </c>
    </row>
    <row r="11" spans="1:7" ht="14.4">
      <c r="A11" s="31" t="s">
        <v>86</v>
      </c>
      <c r="B11" s="16" t="s">
        <v>87</v>
      </c>
      <c r="C11" s="16" t="s">
        <v>88</v>
      </c>
    </row>
    <row r="12" spans="1:7" ht="14.4">
      <c r="A12" s="31">
        <v>44927</v>
      </c>
      <c r="B12" s="16" t="s">
        <v>59</v>
      </c>
      <c r="C12" s="16">
        <v>200</v>
      </c>
      <c r="G12" s="51" t="s">
        <v>152</v>
      </c>
    </row>
    <row r="13" spans="1:7" ht="14.4">
      <c r="A13" s="31">
        <v>44928</v>
      </c>
      <c r="B13" s="16" t="s">
        <v>60</v>
      </c>
      <c r="C13" s="16" t="e">
        <v>#N/A</v>
      </c>
      <c r="G13" s="52"/>
    </row>
    <row r="14" spans="1:7" ht="14.4">
      <c r="A14" s="31">
        <v>44929</v>
      </c>
      <c r="B14" s="16" t="s">
        <v>61</v>
      </c>
      <c r="C14" s="16">
        <v>50</v>
      </c>
      <c r="G14" s="53" t="s">
        <v>213</v>
      </c>
    </row>
    <row r="15" spans="1:7" ht="14.4">
      <c r="A15" s="31">
        <v>44930</v>
      </c>
      <c r="B15" s="16" t="s">
        <v>62</v>
      </c>
      <c r="C15" s="16" t="e">
        <v>#N/A</v>
      </c>
      <c r="G15" s="53" t="s">
        <v>214</v>
      </c>
    </row>
    <row r="16" spans="1:7" ht="14.4">
      <c r="A16" s="31">
        <v>44931</v>
      </c>
      <c r="B16" s="16" t="s">
        <v>63</v>
      </c>
      <c r="C16" s="16">
        <v>10</v>
      </c>
      <c r="G16" s="53" t="s">
        <v>212</v>
      </c>
    </row>
    <row r="17" spans="1:3" ht="14.4">
      <c r="A17" s="31">
        <v>44932</v>
      </c>
      <c r="B17" s="16" t="s">
        <v>153</v>
      </c>
      <c r="C17" s="16">
        <v>150</v>
      </c>
    </row>
    <row r="18" spans="1:3" ht="14.4">
      <c r="A18" s="31">
        <v>44933</v>
      </c>
      <c r="B18" s="16" t="s">
        <v>154</v>
      </c>
      <c r="C18" s="16">
        <v>80</v>
      </c>
    </row>
    <row r="19" spans="1:3" ht="14.4">
      <c r="A19" s="31">
        <v>44934</v>
      </c>
      <c r="B19" s="16" t="s">
        <v>155</v>
      </c>
      <c r="C19" s="16" t="e">
        <v>#N/A</v>
      </c>
    </row>
    <row r="20" spans="1:3" ht="14.4">
      <c r="A20" s="31">
        <v>44935</v>
      </c>
      <c r="B20" s="16" t="s">
        <v>156</v>
      </c>
      <c r="C20" s="16">
        <v>30</v>
      </c>
    </row>
    <row r="21" spans="1:3" ht="14.4">
      <c r="A21" s="31">
        <v>44936</v>
      </c>
      <c r="B21" s="16" t="s">
        <v>157</v>
      </c>
      <c r="C21" s="16" t="e">
        <v>#N/A</v>
      </c>
    </row>
    <row r="22" spans="1:3" ht="14.4">
      <c r="B22" s="16" t="s">
        <v>158</v>
      </c>
      <c r="C22" s="24">
        <f>SUM(IFERROR(C12:C21, 20))</f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V78"/>
  <sheetViews>
    <sheetView tabSelected="1" workbookViewId="0">
      <selection activeCell="G26" sqref="G26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1" t="s">
        <v>98</v>
      </c>
      <c r="B1" s="40" t="s">
        <v>174</v>
      </c>
    </row>
    <row r="3" spans="1:14" ht="14.4">
      <c r="B3" s="1" t="s">
        <v>150</v>
      </c>
    </row>
    <row r="4" spans="1:14" ht="18">
      <c r="A4" s="42" t="s">
        <v>53</v>
      </c>
      <c r="B4" s="1"/>
    </row>
    <row r="5" spans="1:14" ht="18">
      <c r="A5" s="42" t="s">
        <v>152</v>
      </c>
      <c r="B5" s="1"/>
    </row>
    <row r="6" spans="1:14" ht="14.4">
      <c r="A6" s="3"/>
      <c r="B6" s="1"/>
    </row>
    <row r="8" spans="1:14" ht="23.4">
      <c r="A8" s="17" t="s">
        <v>161</v>
      </c>
      <c r="M8" s="17" t="s">
        <v>162</v>
      </c>
    </row>
    <row r="9" spans="1:14" ht="14.4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22" ht="14.4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22" ht="14.4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22" ht="23.4">
      <c r="A21" s="17" t="s">
        <v>167</v>
      </c>
    </row>
    <row r="22" spans="1:22" ht="14.4">
      <c r="A22" s="13" t="s">
        <v>100</v>
      </c>
      <c r="B22" s="16" t="s">
        <v>101</v>
      </c>
      <c r="C22" s="15" t="s">
        <v>102</v>
      </c>
    </row>
    <row r="23" spans="1:22" ht="14.4">
      <c r="A23" s="7">
        <v>10100</v>
      </c>
      <c r="B23" s="11">
        <v>10102</v>
      </c>
      <c r="C23" s="43">
        <f>INDEX($B$10:$J$18,MATCH(VLOOKUP(A23,$M$10:$N$18,2,0),$A$10:$A$18,0),MATCH(VLOOKUP(B23,$M$10:$N$18,2,0),$A$10:$A$18,0))</f>
        <v>95</v>
      </c>
    </row>
    <row r="24" spans="1:22" ht="14.4">
      <c r="A24" s="7">
        <v>10100</v>
      </c>
      <c r="B24" s="11">
        <v>10104</v>
      </c>
      <c r="C24" s="43">
        <f t="shared" ref="C24:C35" si="0">INDEX($B$10:$J$18,MATCH(VLOOKUP(A24,$M$10:$N$18,2,0),$A$10:$A$18,0),MATCH(VLOOKUP(B24,$M$10:$N$18,2,0),$A$10:$A$18,0))</f>
        <v>-1</v>
      </c>
    </row>
    <row r="25" spans="1:22" ht="14.4">
      <c r="A25" s="7">
        <v>10108</v>
      </c>
      <c r="B25" s="11">
        <v>10102</v>
      </c>
      <c r="C25" s="43">
        <f t="shared" si="0"/>
        <v>160</v>
      </c>
    </row>
    <row r="26" spans="1:22" ht="14.4">
      <c r="A26" s="7">
        <v>10100</v>
      </c>
      <c r="B26" s="11">
        <v>10106</v>
      </c>
      <c r="C26" s="43">
        <f t="shared" si="0"/>
        <v>185</v>
      </c>
      <c r="L26" s="45" t="s">
        <v>182</v>
      </c>
      <c r="M26" s="46"/>
      <c r="N26" s="46"/>
      <c r="O26" s="46"/>
      <c r="P26" s="46"/>
      <c r="Q26" s="46"/>
      <c r="R26" s="46"/>
      <c r="S26" s="46"/>
      <c r="T26" s="46"/>
      <c r="U26" s="46"/>
      <c r="V26" s="46"/>
    </row>
    <row r="27" spans="1:22" ht="14.4">
      <c r="A27" s="7">
        <v>10108</v>
      </c>
      <c r="B27" s="11">
        <v>10110</v>
      </c>
      <c r="C27" s="43">
        <f t="shared" si="0"/>
        <v>50</v>
      </c>
      <c r="L27" s="49"/>
      <c r="M27" s="46"/>
      <c r="N27" s="46"/>
      <c r="O27" s="46"/>
      <c r="P27" s="46"/>
      <c r="Q27" s="46"/>
      <c r="R27" s="46"/>
      <c r="S27" s="46"/>
      <c r="T27" s="46"/>
      <c r="U27" s="46"/>
      <c r="V27" s="46"/>
    </row>
    <row r="28" spans="1:22" ht="14.4">
      <c r="A28" s="7">
        <v>10102</v>
      </c>
      <c r="B28" s="11">
        <v>10104</v>
      </c>
      <c r="C28" s="43">
        <f t="shared" si="0"/>
        <v>-1</v>
      </c>
      <c r="L28" s="49"/>
      <c r="M28" s="46"/>
      <c r="N28" s="46"/>
      <c r="O28" s="46"/>
      <c r="P28" s="46"/>
      <c r="Q28" s="46"/>
      <c r="R28" s="46"/>
      <c r="S28" s="46"/>
      <c r="T28" s="46"/>
      <c r="U28" s="46"/>
      <c r="V28" s="46"/>
    </row>
    <row r="29" spans="1:22" ht="14.4">
      <c r="A29" s="7">
        <v>10106</v>
      </c>
      <c r="B29" s="11">
        <v>10108</v>
      </c>
      <c r="C29" s="43">
        <f t="shared" si="0"/>
        <v>70</v>
      </c>
      <c r="L29" s="47" t="s">
        <v>191</v>
      </c>
      <c r="M29" s="46"/>
      <c r="N29" s="46"/>
      <c r="O29" s="46"/>
      <c r="P29" s="46"/>
      <c r="Q29" s="46"/>
      <c r="R29" s="46"/>
      <c r="S29" s="46"/>
      <c r="T29" s="46"/>
      <c r="U29" s="46"/>
      <c r="V29" s="46"/>
    </row>
    <row r="30" spans="1:22" ht="14.4">
      <c r="A30" s="7">
        <v>10102</v>
      </c>
      <c r="B30" s="11">
        <v>10106</v>
      </c>
      <c r="C30" s="43">
        <f t="shared" si="0"/>
        <v>90</v>
      </c>
      <c r="L30" s="47" t="s">
        <v>192</v>
      </c>
      <c r="M30" s="46"/>
      <c r="N30" s="46"/>
      <c r="O30" s="46"/>
      <c r="P30" s="46"/>
      <c r="Q30" s="46"/>
      <c r="R30" s="46"/>
      <c r="S30" s="46"/>
      <c r="T30" s="46"/>
      <c r="U30" s="46"/>
      <c r="V30" s="46"/>
    </row>
    <row r="31" spans="1:22" ht="14.4">
      <c r="A31" s="7">
        <v>10110</v>
      </c>
      <c r="B31" s="11">
        <v>10114</v>
      </c>
      <c r="C31" s="43">
        <f t="shared" si="0"/>
        <v>180</v>
      </c>
      <c r="L31" s="47" t="s">
        <v>193</v>
      </c>
      <c r="M31" s="46"/>
      <c r="N31" s="46"/>
      <c r="O31" s="46"/>
      <c r="P31" s="46"/>
      <c r="Q31" s="46"/>
      <c r="R31" s="46"/>
      <c r="S31" s="46"/>
      <c r="T31" s="46"/>
      <c r="U31" s="46"/>
      <c r="V31" s="46"/>
    </row>
    <row r="32" spans="1:22" ht="14.4">
      <c r="A32" s="7">
        <v>10104</v>
      </c>
      <c r="B32" s="11">
        <v>10106</v>
      </c>
      <c r="C32" s="43">
        <f t="shared" si="0"/>
        <v>60</v>
      </c>
      <c r="L32" s="47" t="s">
        <v>210</v>
      </c>
      <c r="M32" s="46"/>
      <c r="N32" s="46"/>
      <c r="O32" s="46"/>
      <c r="P32" s="46"/>
      <c r="Q32" s="46"/>
      <c r="R32" s="46"/>
      <c r="S32" s="46"/>
      <c r="T32" s="46"/>
      <c r="U32" s="46"/>
      <c r="V32" s="46"/>
    </row>
    <row r="33" spans="1:22" ht="14.4">
      <c r="A33" s="7">
        <v>10110</v>
      </c>
      <c r="B33" s="11">
        <v>10112</v>
      </c>
      <c r="C33" s="43">
        <f t="shared" si="0"/>
        <v>115</v>
      </c>
      <c r="L33" s="49"/>
      <c r="M33" s="46"/>
      <c r="N33" s="46"/>
      <c r="O33" s="46"/>
      <c r="P33" s="46"/>
      <c r="Q33" s="46"/>
      <c r="R33" s="46"/>
      <c r="S33" s="46"/>
      <c r="T33" s="46"/>
      <c r="U33" s="46"/>
      <c r="V33" s="46"/>
    </row>
    <row r="34" spans="1:22" ht="14.4">
      <c r="A34" s="7">
        <v>10100</v>
      </c>
      <c r="B34" s="11">
        <v>10114</v>
      </c>
      <c r="C34" s="43">
        <f t="shared" si="0"/>
        <v>480</v>
      </c>
      <c r="L34" s="45" t="s">
        <v>183</v>
      </c>
      <c r="M34" s="46"/>
      <c r="N34" s="46"/>
      <c r="O34" s="46"/>
      <c r="P34" s="46"/>
      <c r="Q34" s="46"/>
      <c r="R34" s="46"/>
      <c r="S34" s="46"/>
      <c r="T34" s="46"/>
      <c r="U34" s="46"/>
      <c r="V34" s="46"/>
    </row>
    <row r="35" spans="1:22" ht="14.4">
      <c r="A35" s="8">
        <v>10112</v>
      </c>
      <c r="B35" s="12">
        <v>10116</v>
      </c>
      <c r="C35" s="43">
        <f t="shared" si="0"/>
        <v>105</v>
      </c>
      <c r="L35" s="49"/>
      <c r="M35" s="46"/>
      <c r="N35" s="46"/>
      <c r="O35" s="46"/>
      <c r="P35" s="46"/>
      <c r="Q35" s="46"/>
      <c r="R35" s="46"/>
      <c r="S35" s="46"/>
      <c r="T35" s="46"/>
      <c r="U35" s="46"/>
      <c r="V35" s="46"/>
    </row>
    <row r="36" spans="1:22">
      <c r="L36" s="49"/>
      <c r="M36" s="46"/>
      <c r="N36" s="46"/>
      <c r="O36" s="46"/>
      <c r="P36" s="46"/>
      <c r="Q36" s="46"/>
      <c r="R36" s="46"/>
      <c r="S36" s="46"/>
      <c r="T36" s="46"/>
      <c r="U36" s="46"/>
      <c r="V36" s="46"/>
    </row>
    <row r="37" spans="1:22">
      <c r="L37" s="47" t="s">
        <v>194</v>
      </c>
      <c r="M37" s="46"/>
      <c r="N37" s="46"/>
      <c r="O37" s="46"/>
      <c r="P37" s="46"/>
      <c r="Q37" s="46"/>
      <c r="R37" s="46"/>
      <c r="S37" s="46"/>
      <c r="T37" s="46"/>
      <c r="U37" s="46"/>
      <c r="V37" s="46"/>
    </row>
    <row r="38" spans="1:22">
      <c r="L38" s="47" t="s">
        <v>195</v>
      </c>
      <c r="M38" s="46"/>
      <c r="N38" s="46"/>
      <c r="O38" s="46"/>
      <c r="P38" s="46"/>
      <c r="Q38" s="46"/>
      <c r="R38" s="46"/>
      <c r="S38" s="46"/>
      <c r="T38" s="46"/>
      <c r="U38" s="46"/>
      <c r="V38" s="46"/>
    </row>
    <row r="39" spans="1:22">
      <c r="L39" s="47" t="s">
        <v>187</v>
      </c>
      <c r="M39" s="46"/>
      <c r="N39" s="46"/>
      <c r="O39" s="46"/>
      <c r="P39" s="46"/>
      <c r="Q39" s="46"/>
      <c r="R39" s="46"/>
      <c r="S39" s="46"/>
      <c r="T39" s="46"/>
      <c r="U39" s="46"/>
      <c r="V39" s="46"/>
    </row>
    <row r="40" spans="1:22">
      <c r="L40" s="47" t="s">
        <v>196</v>
      </c>
      <c r="M40" s="46"/>
      <c r="N40" s="46"/>
      <c r="O40" s="46"/>
      <c r="P40" s="46"/>
      <c r="Q40" s="46"/>
      <c r="R40" s="46"/>
      <c r="S40" s="46"/>
      <c r="T40" s="46"/>
      <c r="U40" s="46"/>
      <c r="V40" s="46"/>
    </row>
    <row r="41" spans="1:22">
      <c r="L41" s="49"/>
      <c r="M41" s="46"/>
      <c r="N41" s="46"/>
      <c r="O41" s="46"/>
      <c r="P41" s="46"/>
      <c r="Q41" s="46"/>
      <c r="R41" s="46"/>
      <c r="S41" s="46"/>
      <c r="T41" s="46"/>
      <c r="U41" s="46"/>
      <c r="V41" s="46"/>
    </row>
    <row r="42" spans="1:22">
      <c r="L42" s="45" t="s">
        <v>184</v>
      </c>
      <c r="M42" s="46"/>
      <c r="N42" s="46"/>
      <c r="O42" s="46"/>
      <c r="P42" s="46"/>
      <c r="Q42" s="46"/>
      <c r="R42" s="46"/>
      <c r="S42" s="46"/>
      <c r="T42" s="46"/>
      <c r="U42" s="46"/>
      <c r="V42" s="46"/>
    </row>
    <row r="43" spans="1:22">
      <c r="L43" s="49"/>
      <c r="M43" s="46"/>
      <c r="N43" s="46"/>
      <c r="O43" s="46"/>
      <c r="P43" s="46"/>
      <c r="Q43" s="46"/>
      <c r="R43" s="46"/>
      <c r="S43" s="46"/>
      <c r="T43" s="46"/>
      <c r="U43" s="46"/>
      <c r="V43" s="46"/>
    </row>
    <row r="44" spans="1:22">
      <c r="L44" s="49"/>
      <c r="M44" s="46"/>
      <c r="N44" s="46"/>
      <c r="O44" s="46"/>
      <c r="P44" s="46"/>
      <c r="Q44" s="46"/>
      <c r="R44" s="46"/>
      <c r="S44" s="46"/>
      <c r="T44" s="46"/>
      <c r="U44" s="46"/>
      <c r="V44" s="46"/>
    </row>
    <row r="45" spans="1:22">
      <c r="L45" s="47" t="s">
        <v>209</v>
      </c>
      <c r="M45" s="46"/>
      <c r="N45" s="46"/>
      <c r="O45" s="46"/>
      <c r="P45" s="46"/>
      <c r="Q45" s="46"/>
      <c r="R45" s="46"/>
      <c r="S45" s="46"/>
      <c r="T45" s="46"/>
      <c r="U45" s="46"/>
      <c r="V45" s="46"/>
    </row>
    <row r="46" spans="1:22">
      <c r="L46" s="47" t="s">
        <v>197</v>
      </c>
      <c r="M46" s="46"/>
      <c r="N46" s="46"/>
      <c r="O46" s="46"/>
      <c r="P46" s="46"/>
      <c r="Q46" s="46"/>
      <c r="R46" s="46"/>
      <c r="S46" s="46"/>
      <c r="T46" s="46"/>
      <c r="U46" s="46"/>
      <c r="V46" s="46"/>
    </row>
    <row r="47" spans="1:22">
      <c r="L47" s="47" t="s">
        <v>188</v>
      </c>
      <c r="M47" s="46"/>
      <c r="N47" s="46"/>
      <c r="O47" s="46"/>
      <c r="P47" s="46"/>
      <c r="Q47" s="46"/>
      <c r="R47" s="46"/>
      <c r="S47" s="46"/>
      <c r="T47" s="46"/>
      <c r="U47" s="46"/>
      <c r="V47" s="46"/>
    </row>
    <row r="48" spans="1:22">
      <c r="L48" s="49"/>
      <c r="M48" s="46"/>
      <c r="N48" s="46"/>
      <c r="O48" s="46"/>
      <c r="P48" s="46"/>
      <c r="Q48" s="46"/>
      <c r="R48" s="46"/>
      <c r="S48" s="46"/>
      <c r="T48" s="46"/>
      <c r="U48" s="46"/>
      <c r="V48" s="46"/>
    </row>
    <row r="49" spans="12:22">
      <c r="L49" s="45" t="s">
        <v>185</v>
      </c>
      <c r="M49" s="46"/>
      <c r="N49" s="46"/>
      <c r="O49" s="46"/>
      <c r="P49" s="46"/>
      <c r="Q49" s="46"/>
      <c r="R49" s="46"/>
      <c r="S49" s="46"/>
      <c r="T49" s="46"/>
      <c r="U49" s="46"/>
      <c r="V49" s="46"/>
    </row>
    <row r="50" spans="12:22">
      <c r="L50" s="49"/>
      <c r="M50" s="46"/>
      <c r="N50" s="46"/>
      <c r="O50" s="46"/>
      <c r="P50" s="46"/>
      <c r="Q50" s="46"/>
      <c r="R50" s="46"/>
      <c r="S50" s="46"/>
      <c r="T50" s="46"/>
      <c r="U50" s="46"/>
      <c r="V50" s="46"/>
    </row>
    <row r="51" spans="12:22">
      <c r="L51" s="49"/>
      <c r="M51" s="46"/>
      <c r="N51" s="46"/>
      <c r="O51" s="46"/>
      <c r="P51" s="46"/>
      <c r="Q51" s="46"/>
      <c r="R51" s="46"/>
      <c r="S51" s="46"/>
      <c r="T51" s="46"/>
      <c r="U51" s="46"/>
      <c r="V51" s="46"/>
    </row>
    <row r="52" spans="12:22">
      <c r="L52" s="47" t="s">
        <v>198</v>
      </c>
      <c r="M52" s="46"/>
      <c r="N52" s="46"/>
      <c r="O52" s="46"/>
      <c r="P52" s="46"/>
      <c r="Q52" s="46"/>
      <c r="R52" s="46"/>
      <c r="S52" s="46"/>
      <c r="T52" s="46"/>
      <c r="U52" s="46"/>
      <c r="V52" s="46"/>
    </row>
    <row r="53" spans="12:22">
      <c r="L53" s="47" t="s">
        <v>199</v>
      </c>
      <c r="M53" s="46"/>
      <c r="N53" s="46"/>
      <c r="O53" s="46"/>
      <c r="P53" s="46"/>
      <c r="Q53" s="46"/>
      <c r="R53" s="46"/>
      <c r="S53" s="46"/>
      <c r="T53" s="46"/>
      <c r="U53" s="46"/>
      <c r="V53" s="46"/>
    </row>
    <row r="54" spans="12:22">
      <c r="L54" s="47" t="s">
        <v>189</v>
      </c>
      <c r="M54" s="46"/>
      <c r="N54" s="46"/>
      <c r="O54" s="46"/>
      <c r="P54" s="46"/>
      <c r="Q54" s="46"/>
      <c r="R54" s="46"/>
      <c r="S54" s="46"/>
      <c r="T54" s="46"/>
      <c r="U54" s="46"/>
      <c r="V54" s="46"/>
    </row>
    <row r="55" spans="12:22">
      <c r="L55" s="47" t="s">
        <v>190</v>
      </c>
      <c r="M55" s="46"/>
      <c r="N55" s="46"/>
      <c r="O55" s="46"/>
      <c r="P55" s="46"/>
      <c r="Q55" s="46"/>
      <c r="R55" s="46"/>
      <c r="S55" s="46"/>
      <c r="T55" s="46"/>
      <c r="U55" s="46"/>
      <c r="V55" s="46"/>
    </row>
    <row r="56" spans="12:22">
      <c r="L56" s="49"/>
      <c r="M56" s="46"/>
      <c r="N56" s="46"/>
      <c r="O56" s="46"/>
      <c r="P56" s="46"/>
      <c r="Q56" s="46"/>
      <c r="R56" s="46"/>
      <c r="S56" s="46"/>
      <c r="T56" s="46"/>
      <c r="U56" s="46"/>
      <c r="V56" s="46"/>
    </row>
    <row r="57" spans="12:22">
      <c r="L57" s="45" t="s">
        <v>186</v>
      </c>
      <c r="M57" s="46"/>
      <c r="N57" s="46"/>
      <c r="O57" s="46"/>
      <c r="P57" s="46"/>
      <c r="Q57" s="46"/>
      <c r="R57" s="46"/>
      <c r="S57" s="46"/>
      <c r="T57" s="46"/>
      <c r="U57" s="46"/>
      <c r="V57" s="46"/>
    </row>
    <row r="58" spans="12:22">
      <c r="L58" s="49"/>
      <c r="M58" s="46"/>
      <c r="N58" s="46"/>
      <c r="O58" s="46"/>
      <c r="P58" s="46"/>
      <c r="Q58" s="46"/>
      <c r="R58" s="46"/>
      <c r="S58" s="46"/>
      <c r="T58" s="46"/>
      <c r="U58" s="46"/>
      <c r="V58" s="46"/>
    </row>
    <row r="59" spans="12:22">
      <c r="L59" s="49"/>
      <c r="M59" s="46"/>
      <c r="N59" s="46"/>
      <c r="O59" s="46"/>
      <c r="P59" s="46"/>
      <c r="Q59" s="46"/>
      <c r="R59" s="46"/>
      <c r="S59" s="46"/>
      <c r="T59" s="46"/>
      <c r="U59" s="46"/>
      <c r="V59" s="46"/>
    </row>
    <row r="60" spans="12:22">
      <c r="L60" s="47" t="s">
        <v>200</v>
      </c>
      <c r="M60" s="46"/>
      <c r="N60" s="46"/>
      <c r="O60" s="46"/>
      <c r="P60" s="46"/>
      <c r="Q60" s="46"/>
      <c r="R60" s="46"/>
      <c r="S60" s="46"/>
      <c r="T60" s="46"/>
      <c r="U60" s="46"/>
      <c r="V60" s="46"/>
    </row>
    <row r="61" spans="12:22">
      <c r="L61" s="47" t="s">
        <v>201</v>
      </c>
      <c r="M61" s="46"/>
      <c r="N61" s="46"/>
      <c r="O61" s="46"/>
      <c r="P61" s="46"/>
      <c r="Q61" s="46"/>
      <c r="R61" s="46"/>
      <c r="S61" s="46"/>
      <c r="T61" s="46"/>
      <c r="U61" s="46"/>
      <c r="V61" s="46"/>
    </row>
    <row r="62" spans="12:22"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</row>
    <row r="63" spans="12:22" ht="17.399999999999999">
      <c r="L63" s="48" t="s">
        <v>178</v>
      </c>
      <c r="M63" s="46"/>
      <c r="N63" s="46"/>
      <c r="O63" s="46"/>
      <c r="P63" s="46"/>
      <c r="Q63" s="46"/>
      <c r="R63" s="46"/>
      <c r="S63" s="46"/>
      <c r="T63" s="46"/>
      <c r="U63" s="46"/>
      <c r="V63" s="46"/>
    </row>
    <row r="64" spans="12:22"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</row>
    <row r="65" spans="12:22">
      <c r="L65" s="46" t="s">
        <v>202</v>
      </c>
      <c r="M65" s="46"/>
      <c r="N65" s="46"/>
      <c r="O65" s="46"/>
      <c r="P65" s="46"/>
      <c r="Q65" s="46"/>
      <c r="R65" s="46"/>
      <c r="S65" s="46"/>
      <c r="T65" s="46"/>
      <c r="U65" s="46"/>
      <c r="V65" s="46"/>
    </row>
    <row r="66" spans="12:22">
      <c r="L66" s="49"/>
      <c r="M66" s="46"/>
      <c r="N66" s="46"/>
      <c r="O66" s="46"/>
      <c r="P66" s="46"/>
      <c r="Q66" s="46"/>
      <c r="R66" s="46"/>
      <c r="S66" s="46"/>
      <c r="T66" s="46"/>
      <c r="U66" s="46"/>
      <c r="V66" s="46"/>
    </row>
    <row r="67" spans="12:22">
      <c r="L67" s="49" t="s">
        <v>203</v>
      </c>
      <c r="M67" s="46"/>
      <c r="N67" s="46"/>
      <c r="O67" s="46"/>
      <c r="P67" s="46"/>
      <c r="Q67" s="46"/>
      <c r="R67" s="46"/>
      <c r="S67" s="46"/>
      <c r="T67" s="46"/>
      <c r="U67" s="46"/>
      <c r="V67" s="46"/>
    </row>
    <row r="68" spans="12:22">
      <c r="L68" s="49" t="s">
        <v>204</v>
      </c>
      <c r="M68" s="46"/>
      <c r="N68" s="46"/>
      <c r="O68" s="46"/>
      <c r="P68" s="46"/>
      <c r="Q68" s="46"/>
      <c r="R68" s="46"/>
      <c r="S68" s="46"/>
      <c r="T68" s="46"/>
      <c r="U68" s="46"/>
      <c r="V68" s="46"/>
    </row>
    <row r="69" spans="12:22">
      <c r="L69" s="49" t="s">
        <v>205</v>
      </c>
      <c r="M69" s="46"/>
      <c r="N69" s="46"/>
      <c r="O69" s="46"/>
      <c r="P69" s="46"/>
      <c r="Q69" s="46"/>
      <c r="R69" s="46"/>
      <c r="S69" s="46"/>
      <c r="T69" s="46"/>
      <c r="U69" s="46"/>
      <c r="V69" s="46"/>
    </row>
    <row r="70" spans="12:22">
      <c r="L70" s="49" t="s">
        <v>206</v>
      </c>
      <c r="M70" s="46"/>
      <c r="N70" s="46"/>
      <c r="O70" s="46"/>
      <c r="P70" s="46"/>
      <c r="Q70" s="46"/>
      <c r="R70" s="46"/>
      <c r="S70" s="46"/>
      <c r="T70" s="46"/>
      <c r="U70" s="46"/>
      <c r="V70" s="46"/>
    </row>
    <row r="71" spans="12:22"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</row>
    <row r="72" spans="12:22" ht="17.399999999999999">
      <c r="L72" s="48" t="s">
        <v>179</v>
      </c>
      <c r="M72" s="46"/>
      <c r="N72" s="46"/>
      <c r="O72" s="46"/>
      <c r="P72" s="46"/>
      <c r="Q72" s="46"/>
      <c r="R72" s="46"/>
      <c r="S72" s="46"/>
      <c r="T72" s="46"/>
      <c r="U72" s="46"/>
      <c r="V72" s="46"/>
    </row>
    <row r="73" spans="12:22">
      <c r="L73" s="49"/>
      <c r="M73" s="46"/>
      <c r="N73" s="46"/>
      <c r="O73" s="46"/>
      <c r="P73" s="46"/>
      <c r="Q73" s="46"/>
      <c r="R73" s="46"/>
      <c r="S73" s="46"/>
      <c r="T73" s="46"/>
      <c r="U73" s="46"/>
      <c r="V73" s="46"/>
    </row>
    <row r="74" spans="12:22">
      <c r="L74" s="45" t="s">
        <v>207</v>
      </c>
      <c r="M74" s="46"/>
      <c r="N74" s="46"/>
      <c r="O74" s="46"/>
      <c r="P74" s="46"/>
      <c r="Q74" s="46"/>
      <c r="R74" s="46"/>
      <c r="S74" s="46"/>
      <c r="T74" s="46"/>
      <c r="U74" s="46"/>
      <c r="V74" s="46"/>
    </row>
    <row r="75" spans="12:22">
      <c r="L75" s="45" t="s">
        <v>180</v>
      </c>
      <c r="M75" s="46"/>
      <c r="N75" s="46"/>
      <c r="O75" s="46"/>
      <c r="P75" s="46"/>
      <c r="Q75" s="46"/>
      <c r="R75" s="46"/>
      <c r="S75" s="46"/>
      <c r="T75" s="46"/>
      <c r="U75" s="46"/>
      <c r="V75" s="46"/>
    </row>
    <row r="76" spans="12:22">
      <c r="L76" s="45" t="s">
        <v>181</v>
      </c>
      <c r="M76" s="46"/>
      <c r="N76" s="46"/>
      <c r="O76" s="46"/>
      <c r="P76" s="46"/>
      <c r="Q76" s="46"/>
      <c r="R76" s="46"/>
      <c r="S76" s="46"/>
      <c r="T76" s="46"/>
      <c r="U76" s="46"/>
      <c r="V76" s="46"/>
    </row>
    <row r="77" spans="12:22"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</row>
    <row r="78" spans="12:22">
      <c r="L78" s="46" t="s">
        <v>208</v>
      </c>
      <c r="M78" s="46"/>
      <c r="N78" s="46"/>
      <c r="O78" s="46"/>
      <c r="P78" s="46"/>
      <c r="Q78" s="46"/>
      <c r="R78" s="46"/>
      <c r="S78" s="46"/>
      <c r="T78" s="46"/>
      <c r="U78" s="46"/>
      <c r="V78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Task_1</vt:lpstr>
      <vt:lpstr>Task_2</vt:lpstr>
      <vt:lpstr>Task_3</vt:lpstr>
      <vt:lpstr>Dataset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DPU-ResmMed-S</cp:lastModifiedBy>
  <dcterms:created xsi:type="dcterms:W3CDTF">2015-02-10T17:33:11Z</dcterms:created>
  <dcterms:modified xsi:type="dcterms:W3CDTF">2024-10-23T16:56:18Z</dcterms:modified>
</cp:coreProperties>
</file>